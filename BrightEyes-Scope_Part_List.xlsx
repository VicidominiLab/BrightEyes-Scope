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stitutoitalianotecnologia-my.sharepoint.com/personal/andrea_bucci_iit_it/Documents/Setup/Microscope_MifoBio/"/>
    </mc:Choice>
  </mc:AlternateContent>
  <xr:revisionPtr revIDLastSave="321" documentId="11_34F25A03F18D96FF6A4149F2A1367ADEA75B4557" xr6:coauthVersionLast="47" xr6:coauthVersionMax="47" xr10:uidLastSave="{36897B8D-D9C0-417C-8D3A-396CAA02CC9B}"/>
  <bookViews>
    <workbookView xWindow="-108" yWindow="-108" windowWidth="23256" windowHeight="12456" xr2:uid="{00000000-000D-0000-FFFF-FFFF00000000}"/>
  </bookViews>
  <sheets>
    <sheet name="Cover" sheetId="2" r:id="rId1"/>
    <sheet name="Part Lis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52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51" i="1"/>
  <c r="E9" i="1"/>
  <c r="E8" i="1"/>
  <c r="E7" i="1"/>
  <c r="E6" i="1"/>
  <c r="E5" i="1"/>
  <c r="E4" i="1"/>
  <c r="E3" i="1"/>
  <c r="E2" i="1"/>
  <c r="E56" i="1" l="1"/>
</calcChain>
</file>

<file path=xl/sharedStrings.xml><?xml version="1.0" encoding="utf-8"?>
<sst xmlns="http://schemas.openxmlformats.org/spreadsheetml/2006/main" count="182" uniqueCount="182">
  <si>
    <t>Part Code</t>
  </si>
  <si>
    <t>Item Name</t>
  </si>
  <si>
    <t>Quantity</t>
  </si>
  <si>
    <t>Price per Item (€)</t>
  </si>
  <si>
    <t>Total Price (€)</t>
  </si>
  <si>
    <t>Link</t>
  </si>
  <si>
    <t>AC254-300-A-ML</t>
  </si>
  <si>
    <t>https://www.thorlabs.com/item/AC254-300-A-ML</t>
  </si>
  <si>
    <t>BBE1-E02</t>
  </si>
  <si>
    <t>https://www.thorlabs.com/item/BBE1-E02</t>
  </si>
  <si>
    <t>BBE2-E02</t>
  </si>
  <si>
    <t>https://www.thorlabs.com/item/BBE2-E02</t>
  </si>
  <si>
    <t>CF125C/M</t>
  </si>
  <si>
    <t>Clamping Fork for Ø1.25" Pedestal Bases, 31.5 mm Counterbored Slot, M6 x 1.0 Captive Screw</t>
  </si>
  <si>
    <t>https://www.thorlabs.com/item/CF125C_M</t>
  </si>
  <si>
    <t>CP32/M</t>
  </si>
  <si>
    <t>SM05-Threaded 30 mm Cage Plate, 0.35" Thick, Two Retaining Rings, M4 Tap</t>
  </si>
  <si>
    <t>https://www.thorlabs.com/item/CP32_M</t>
  </si>
  <si>
    <t>CP33/M</t>
  </si>
  <si>
    <t>SM1-Threaded 30 mm Cage Plate, 0.35" Thick, 2 Retaining Rings, M4 Tap</t>
  </si>
  <si>
    <t>https://www.thorlabs.com/item/CP33_M</t>
  </si>
  <si>
    <t>CP37/M</t>
  </si>
  <si>
    <t>Ø35 mm Aperture, 30 mm Cage Plate, 0.35" Thick, M4 Tap</t>
  </si>
  <si>
    <t>https://www.thorlabs.com/item/CP37_M</t>
  </si>
  <si>
    <t>Detector_7x7</t>
  </si>
  <si>
    <t>DFM1/M</t>
  </si>
  <si>
    <t>https://www.thorlabs.com/item/DFM1_M</t>
  </si>
  <si>
    <t>ER05</t>
  </si>
  <si>
    <t>https://www.thorlabs.com/item/ER05</t>
  </si>
  <si>
    <t>ER1</t>
  </si>
  <si>
    <t>Cage Assembly Rod, 1" Long, Ø6 mm</t>
  </si>
  <si>
    <t>https://www.thorlabs.com/item/ER1</t>
  </si>
  <si>
    <t>ER12</t>
  </si>
  <si>
    <t>https://www.thorlabs.com/item/ER12</t>
  </si>
  <si>
    <t>ER2</t>
  </si>
  <si>
    <t>https://www.thorlabs.com/item/ER2</t>
  </si>
  <si>
    <t>ER3</t>
  </si>
  <si>
    <t>https://www.thorlabs.com/item/ER3</t>
  </si>
  <si>
    <t>ER6</t>
  </si>
  <si>
    <t>Cage Assembly Rod, 6" Long, Ø6 mm</t>
  </si>
  <si>
    <t>https://www.thorlabs.com/item/ER6</t>
  </si>
  <si>
    <t>ERSCB</t>
  </si>
  <si>
    <t>https://www.thorlabs.com/item/ERSCB</t>
  </si>
  <si>
    <t>GCM102/M</t>
  </si>
  <si>
    <t>https://www.thorlabs.com/item/GCM102_M</t>
  </si>
  <si>
    <t>GVSK2-EC</t>
  </si>
  <si>
    <t>https://www.thorlabs.com/item/GVSK2-EC</t>
  </si>
  <si>
    <t>KCB1E/M</t>
  </si>
  <si>
    <t>https://www.thorlabs.com/item/KCB1E_M</t>
  </si>
  <si>
    <t>KCB1EC/M</t>
  </si>
  <si>
    <t>Right-Angle Kinematic Elliptical Mirror Mount with Smooth Cage Rod Bores, 30 mm Cage System and SM1 Compatible, M4 and M6 Mounting Holes</t>
  </si>
  <si>
    <t>https://www.thorlabs.com/item/KCB1EC_M</t>
  </si>
  <si>
    <t>KCB2EC/M</t>
  </si>
  <si>
    <t>https://www.thorlabs.com/item/KCB2EC_M</t>
  </si>
  <si>
    <t>LCP33/M</t>
  </si>
  <si>
    <t>30 mm to 60 mm Cage Plate Adapter, M4 Tap</t>
  </si>
  <si>
    <t>https://www.thorlabs.com/item/LCP33_M</t>
  </si>
  <si>
    <t>LCP34T/M</t>
  </si>
  <si>
    <t>https://www.thorlabs.com/item/LCP34T_M</t>
  </si>
  <si>
    <t>LCRM2A/M</t>
  </si>
  <si>
    <t>60 mm Cage Rotation Mount for Ø2" Optics, M4 x 0.7 Tap</t>
  </si>
  <si>
    <t>https://www.thorlabs.com/item/LCRM2A_M</t>
  </si>
  <si>
    <t>MAX3SLH</t>
  </si>
  <si>
    <t>https://www.thorlabs.com/item/MAX3SLH</t>
  </si>
  <si>
    <t>MB4560/M</t>
  </si>
  <si>
    <t>Aluminum Breadboard, 450 mm x 600 mm x 12.7 mm, M6 Taps</t>
  </si>
  <si>
    <t>https://www.thorlabs.com/item/MB4560_M</t>
  </si>
  <si>
    <t>MDT630B/M</t>
  </si>
  <si>
    <t>MAX302/M NanoMax Stage, 3 Differential Micrometers and Piezo Controller</t>
  </si>
  <si>
    <t>https://www.thorlabs.com/item/MDT630B_M</t>
  </si>
  <si>
    <t>Objective</t>
  </si>
  <si>
    <t>P75/M</t>
  </si>
  <si>
    <t>https://www.thorlabs.com/item/P75_M</t>
  </si>
  <si>
    <t>PB4/M</t>
  </si>
  <si>
    <t>https://www.thorlabs.com/item/PB4_M</t>
  </si>
  <si>
    <t>PF125B</t>
  </si>
  <si>
    <t>Clamping Fork for Ø1.85" Pedestal Bases, 1.25" Counterbored Slot, Universal</t>
  </si>
  <si>
    <t>https://www.thorlabs.com/item/PF125B</t>
  </si>
  <si>
    <t>PH40E/M</t>
  </si>
  <si>
    <t>https://www.thorlabs.com/item/PH40E_M</t>
  </si>
  <si>
    <t>PS5M</t>
  </si>
  <si>
    <t>https://www.thorlabs.com/item/PS5M</t>
  </si>
  <si>
    <t>RC04FC-P01</t>
  </si>
  <si>
    <t>Protected Silver Reflective Collimator, 450 nm - 20 µm, RFL = 15 mm, FC/PC</t>
  </si>
  <si>
    <t>https://www.thorlabs.com/item/RC04FC-P01</t>
  </si>
  <si>
    <t>RS075P/M</t>
  </si>
  <si>
    <t>https://www.thorlabs.com/item/RS075P_M</t>
  </si>
  <si>
    <t>RS1.5P/M</t>
  </si>
  <si>
    <t>https://www.thorlabs.com/item/RS1.5P_M</t>
  </si>
  <si>
    <t>RS2M</t>
  </si>
  <si>
    <t>https://www.thorlabs.com/item/RS2M</t>
  </si>
  <si>
    <t>RS2P4M</t>
  </si>
  <si>
    <t>https://www.thorlabs.com/item/RS2P4M</t>
  </si>
  <si>
    <t>RS3M</t>
  </si>
  <si>
    <t>https://www.thorlabs.com/item/RS3M</t>
  </si>
  <si>
    <t>RS4M</t>
  </si>
  <si>
    <t>https://www.thorlabs.com/item/RS4M</t>
  </si>
  <si>
    <t>RS6M</t>
  </si>
  <si>
    <t>https://www.thorlabs.com/item/RS6M</t>
  </si>
  <si>
    <t>RS8M</t>
  </si>
  <si>
    <t>https://www.thorlabs.com/item/RS8M</t>
  </si>
  <si>
    <t>SL50-CLS2</t>
  </si>
  <si>
    <t>https://www.thorlabs.com/item/SL50-CLS2</t>
  </si>
  <si>
    <t>SM1A24</t>
  </si>
  <si>
    <t>https://www.thorlabs.com/item/SM1A24</t>
  </si>
  <si>
    <t>SM1CP2</t>
  </si>
  <si>
    <t>https://www.thorlabs.com/item/SM1CP2</t>
  </si>
  <si>
    <t>SM1D12D</t>
  </si>
  <si>
    <t>https://www.thorlabs.com/item/SM1D12D</t>
  </si>
  <si>
    <t>SM1T20</t>
  </si>
  <si>
    <t>https://www.thorlabs.com/item/SM1T20</t>
  </si>
  <si>
    <t>SM2T10</t>
  </si>
  <si>
    <t>https://www.thorlabs.com/item/SM2T10</t>
  </si>
  <si>
    <t>TR40V/M</t>
  </si>
  <si>
    <t>https://www.thorlabs.com/item/TR40V_M</t>
  </si>
  <si>
    <t>TTL200MP</t>
  </si>
  <si>
    <t>https://www.thorlabs.com/item/TTL200MP</t>
  </si>
  <si>
    <t>Grand total (priced rows only)</t>
  </si>
  <si>
    <t>Dichroic</t>
  </si>
  <si>
    <t>SPADarray Detector 7 x 7</t>
  </si>
  <si>
    <t>Microscope objective 100x (must be compatible with tube lens TTL200MP. Check Thorlabs website)</t>
  </si>
  <si>
    <t>Must fit inside DFM1/M Kinematic Dichroic Filter Mount</t>
  </si>
  <si>
    <t>Fiber laser</t>
  </si>
  <si>
    <t>Laser must be brought to the setup using an optical fiber. The collimator RC04FC-P01 requires FC/PC connector on the microscope side. Otherwise change the component to its FC/APC counterpart (RC04APC-P01)</t>
  </si>
  <si>
    <t>BrightEyes-Scope Part List</t>
  </si>
  <si>
    <t>Overview</t>
  </si>
  <si>
    <r>
      <t xml:space="preserve">This spreadsheet accompanies the publication of </t>
    </r>
    <r>
      <rPr>
        <b/>
        <sz val="11"/>
        <rFont val="Carlito"/>
      </rPr>
      <t>BrightEyes-Scope</t>
    </r>
    <r>
      <rPr>
        <sz val="11"/>
        <rFont val="Carlito"/>
      </rPr>
      <t xml:space="preserve">, an open-source microscope architecture that provides guidelines for building a laser-scanning microscope equipped with a </t>
    </r>
    <r>
      <rPr>
        <b/>
        <sz val="11"/>
        <rFont val="Carlito"/>
      </rPr>
      <t>SPAD array detector</t>
    </r>
    <r>
      <rPr>
        <sz val="11"/>
        <rFont val="Carlito"/>
      </rPr>
      <t>.</t>
    </r>
  </si>
  <si>
    <r>
      <t xml:space="preserve">The system enables </t>
    </r>
    <r>
      <rPr>
        <b/>
        <sz val="11"/>
        <rFont val="Carlito"/>
      </rPr>
      <t>Image Scanning Microscopy (ISM)</t>
    </r>
    <r>
      <rPr>
        <sz val="11"/>
        <rFont val="Carlito"/>
      </rPr>
      <t xml:space="preserve"> and is designed as an upgrade path from conventional confocal microscopy toward array-detector-based imaging.</t>
    </r>
  </si>
  <si>
    <t>Scope of this Part List</t>
  </si>
  <si>
    <r>
      <t xml:space="preserve">The </t>
    </r>
    <r>
      <rPr>
        <b/>
        <sz val="11"/>
        <rFont val="Carlito"/>
      </rPr>
      <t>Part List</t>
    </r>
    <r>
      <rPr>
        <sz val="11"/>
        <rFont val="Carlito"/>
      </rPr>
      <t xml:space="preserve"> tab contains the components required to assemble the mechanical and optomechanical structure of the microscope, including part codes, quantities, estimated prices, total costs, and direct supplier links where available.</t>
    </r>
  </si>
  <si>
    <r>
      <t xml:space="preserve">Some key components are </t>
    </r>
    <r>
      <rPr>
        <b/>
        <sz val="11"/>
        <rFont val="Carlito"/>
      </rPr>
      <t>not included</t>
    </r>
    <r>
      <rPr>
        <sz val="11"/>
        <rFont val="Carlito"/>
      </rPr>
      <t xml:space="preserve"> in the purchasable part list and must be provided separately by the user:</t>
    </r>
  </si>
  <si>
    <t>SPAD array detector</t>
  </si>
  <si>
    <t>100× objective</t>
  </si>
  <si>
    <t>Dichroic mirror</t>
  </si>
  <si>
    <t>Fiber-coupled laser</t>
  </si>
  <si>
    <t>Notes for Assembly</t>
  </si>
  <si>
    <t>The part list has been prepared to be as complete and accurate as possible. However, minor discrepancies may remain, especially regarding screw lengths, hole compatibility, and thread interfaces.</t>
  </si>
  <si>
    <t>For this reason, we recommend keeping the following additional hardware available during assembly:</t>
  </si>
  <si>
    <r>
      <t xml:space="preserve">Assorted </t>
    </r>
    <r>
      <rPr>
        <b/>
        <sz val="11"/>
        <rFont val="Carlito"/>
      </rPr>
      <t>M4 set screws</t>
    </r>
  </si>
  <si>
    <r>
      <t xml:space="preserve">Assorted </t>
    </r>
    <r>
      <rPr>
        <b/>
        <sz val="11"/>
        <rFont val="Carlito"/>
      </rPr>
      <t>M6 set screws</t>
    </r>
  </si>
  <si>
    <r>
      <t>M4-to-M6 thread adapters</t>
    </r>
    <r>
      <rPr>
        <sz val="11"/>
        <rFont val="Carlito"/>
      </rPr>
      <t xml:space="preserve">, for example </t>
    </r>
    <r>
      <rPr>
        <b/>
        <sz val="11"/>
        <rFont val="Carlito"/>
      </rPr>
      <t>AE4M6M</t>
    </r>
  </si>
  <si>
    <t>Having these components available should help resolve small mechanical compatibility issues that may arise during assembly.</t>
  </si>
  <si>
    <t>Prepared 8-May-2026</t>
  </si>
  <si>
    <t>f=300 mm, Ø1" Achromatic Doublet, SM1-Threaded Mount, ARC: 400-700 nm</t>
  </si>
  <si>
    <t>1" Broadband Dielectric Elliptical Mirror, 400 - 750 nm</t>
  </si>
  <si>
    <t>2" Broadband Dielectric Elliptical Mirror, 400 - 750 nm</t>
  </si>
  <si>
    <t>https://www.thorlabs.com/item/CXYZ1A_M</t>
  </si>
  <si>
    <t>CXYZ1A/M</t>
  </si>
  <si>
    <t>XYZ Translation Mount for Ø1" Optics, M6 Taps</t>
  </si>
  <si>
    <t>Kinematic Fluorescence Filter Cube for Ø25 mm Fluorescence Filters, 30 mm Cage Compatible, Right-Turning, M6 Tapped Holes</t>
  </si>
  <si>
    <t>Cage Assembly Rod, 1/2" Long, Ø6 mm</t>
  </si>
  <si>
    <t>Cage Assembly Rod, 12" Long, Ø6 mm</t>
  </si>
  <si>
    <t>Cage Assembly Rod, 3" Long, Ø6 mm</t>
  </si>
  <si>
    <t>Cage Assembly Rod, 2" Long, Ø6 mm</t>
  </si>
  <si>
    <t>Rod Adapter for Ø6 mm ER Rods, L = 0.27"</t>
  </si>
  <si>
    <t>Mounting Adapter for a 2D Galvo System, Metric</t>
  </si>
  <si>
    <t>2D Galvo System Kit, Silver-Coated Mirrors, 230 VAC</t>
  </si>
  <si>
    <t>Right-Angle Kinematic Elliptical Mirror Mount with Tapped Cage Rod Holes, 30 mm Cage System and SM1 Compatible, M4 and M6 Mounting Holes</t>
  </si>
  <si>
    <t>Right-Angle Kinematic Elliptical Mirror Mount with Smooth Cage Rod Bores, 60 mm Cage System and SM2 Compatible, M4 and M6 Mounting Holes</t>
  </si>
  <si>
    <t>60 mm Cage Plate, SM2 Threads, 0.9" Thick, M4 Tap (Two SM2RR Retaining Rings Included)</t>
  </si>
  <si>
    <t>Microscopy Slide Holder</t>
  </si>
  <si>
    <t>Ø1.5" Mounting Post, M6 Taps, L = 75 mm</t>
  </si>
  <si>
    <t>Ø1.85" Studded Pedestal Base Adapter, M6 x 1.0 Threads</t>
  </si>
  <si>
    <t>Ø12.7 mm Pedestal Post Holder, Spring-Loaded Hex-Locking Thumbscrew, L=44.7 mm</t>
  </si>
  <si>
    <t>Mounting Post Spacer, Height = 5 mm</t>
  </si>
  <si>
    <t>Ø25.0 mm Pedestal Pillar Post, M6 Taps, L = 19 mm</t>
  </si>
  <si>
    <t>Ø25.0 mm Pedestal Pillar Post, M6 Taps, L = 38 mm</t>
  </si>
  <si>
    <t>Ø25.0 mm Post Spacer, Thickness = 2 mm</t>
  </si>
  <si>
    <t>Ø25.0 mm Pedestal Pillar Post, M4 Taps, L = 50 mm</t>
  </si>
  <si>
    <t>Ø25.0 mm Post Spacer, Thickness = 3 mm</t>
  </si>
  <si>
    <t>Ø25.0 mm Post Spacer, Thickness = 4 mm</t>
  </si>
  <si>
    <t>Ø25.0 mm Post Spacer, Thickness = 6 mm</t>
  </si>
  <si>
    <t>Ø25.0 mm Post Spacer, Thickness = 8 mm</t>
  </si>
  <si>
    <t>Scan Lens, 450 to 1100 nm, EFL=50 mm</t>
  </si>
  <si>
    <t>Adapter with External SM1 Threads and Internal M25.5 x 0.5 Threads</t>
  </si>
  <si>
    <t>Externally SM1-Threaded End Cap</t>
  </si>
  <si>
    <t>SM1 Ring-Actuated Iris Diaphragm (Ø0.8 - Ø12.0 mm)</t>
  </si>
  <si>
    <t>SM1 (1.035"-40) Coupler, External Threads, 2" Long, Two Locking Rings</t>
  </si>
  <si>
    <t>SM2 (2.035"-40) Coupler, External Threads, 1" Long</t>
  </si>
  <si>
    <t>Ø12.7 mm Vacuum-Compatible Optical Post, M4 Setscrew, M6 Tap, L = 40 mm</t>
  </si>
  <si>
    <t>Laser Scanning Tube Lens, f = 200 mm, ARC: 400 - 1300 nm</t>
  </si>
  <si>
    <t>https://www.genoainstruments.com/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</si>
</sst>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10">
    <font>
      <sz val="11"/>
      <name val="Carlito"/>
    </font>
    <font>
      <b/>
      <sz val="11"/>
      <name val="Carlito"/>
    </font>
    <font>
      <u/>
      <sz val="11"/>
      <color theme="10"/>
      <name val="Carlito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Carlito"/>
    </font>
    <font>
      <b/>
      <sz val="24"/>
      <color theme="7"/>
      <name val="Carlito"/>
    </font>
    <font>
      <b/>
      <sz val="11"/>
      <color rgb="FF3B3B3B"/>
      <name val="Arial"/>
      <family val="2"/>
    </font>
    <font>
      <sz val="11"/>
      <color rgb="FF3B3B3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" fontId="4" fillId="0" borderId="0" xfId="0" applyNumberFormat="1" applyFont="1" applyAlignment="1">
      <alignment horizontal="right" vertical="top" wrapText="1"/>
    </xf>
    <xf numFmtId="164" fontId="4" fillId="0" borderId="0" xfId="0" applyNumberFormat="1" applyFont="1" applyAlignment="1">
      <alignment horizontal="right" vertical="top" wrapText="1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164" fontId="4" fillId="3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9"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10757</xdr:colOff>
      <xdr:row>0</xdr:row>
      <xdr:rowOff>50205</xdr:rowOff>
    </xdr:from>
    <xdr:to>
      <xdr:col>8</xdr:col>
      <xdr:colOff>442934</xdr:colOff>
      <xdr:row>19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FFBA01-A766-807A-D5E0-47D51D3D55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877" t="11076" r="9114" b="14367"/>
        <a:stretch>
          <a:fillRect/>
        </a:stretch>
      </xdr:blipFill>
      <xdr:spPr>
        <a:xfrm>
          <a:off x="10757" y="50205"/>
          <a:ext cx="5811001" cy="335638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PartList" displayName="CleanPartList" ref="A1:F54" headerRowDxfId="2" dataDxfId="0" totalsRowDxfId="1">
  <tableColumns count="6">
    <tableColumn id="1" xr3:uid="{00000000-0010-0000-0000-000001000000}" name="Part Code" dataDxfId="8"/>
    <tableColumn id="2" xr3:uid="{00000000-0010-0000-0000-000002000000}" name="Item Name" dataDxfId="7"/>
    <tableColumn id="3" xr3:uid="{00000000-0010-0000-0000-000003000000}" name="Quantity" dataDxfId="6"/>
    <tableColumn id="4" xr3:uid="{00000000-0010-0000-0000-000004000000}" name="Price per Item (€)" dataDxfId="5"/>
    <tableColumn id="5" xr3:uid="{00000000-0010-0000-0000-000005000000}" name="Total Price (€)" dataDxfId="4"/>
    <tableColumn id="6" xr3:uid="{00000000-0010-0000-0000-000006000000}" name="Link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horlabs.com/item/ER3" TargetMode="External"/><Relationship Id="rId18" Type="http://schemas.openxmlformats.org/officeDocument/2006/relationships/hyperlink" Target="https://www.thorlabs.com/item/GCM102_M" TargetMode="External"/><Relationship Id="rId26" Type="http://schemas.openxmlformats.org/officeDocument/2006/relationships/hyperlink" Target="https://www.thorlabs.com/item/MAX3SLH" TargetMode="External"/><Relationship Id="rId39" Type="http://schemas.openxmlformats.org/officeDocument/2006/relationships/hyperlink" Target="https://www.thorlabs.com/item/RS3M" TargetMode="External"/><Relationship Id="rId21" Type="http://schemas.openxmlformats.org/officeDocument/2006/relationships/hyperlink" Target="https://www.thorlabs.com/item/KCB1EC_M" TargetMode="External"/><Relationship Id="rId34" Type="http://schemas.openxmlformats.org/officeDocument/2006/relationships/hyperlink" Target="https://www.thorlabs.com/item/RC04FC-P01" TargetMode="External"/><Relationship Id="rId42" Type="http://schemas.openxmlformats.org/officeDocument/2006/relationships/hyperlink" Target="https://www.thorlabs.com/item/RS8M" TargetMode="External"/><Relationship Id="rId47" Type="http://schemas.openxmlformats.org/officeDocument/2006/relationships/hyperlink" Target="https://www.thorlabs.com/item/SM1T20" TargetMode="External"/><Relationship Id="rId50" Type="http://schemas.openxmlformats.org/officeDocument/2006/relationships/hyperlink" Target="https://www.genoainstruments.com/" TargetMode="External"/><Relationship Id="rId7" Type="http://schemas.openxmlformats.org/officeDocument/2006/relationships/hyperlink" Target="https://www.thorlabs.com/item/CP33_M" TargetMode="External"/><Relationship Id="rId2" Type="http://schemas.openxmlformats.org/officeDocument/2006/relationships/hyperlink" Target="https://www.thorlabs.com/item/AC254-300-A-ML" TargetMode="External"/><Relationship Id="rId16" Type="http://schemas.openxmlformats.org/officeDocument/2006/relationships/hyperlink" Target="https://www.thorlabs.com/item/ER2" TargetMode="External"/><Relationship Id="rId29" Type="http://schemas.openxmlformats.org/officeDocument/2006/relationships/hyperlink" Target="https://www.thorlabs.com/item/P75_M" TargetMode="External"/><Relationship Id="rId11" Type="http://schemas.openxmlformats.org/officeDocument/2006/relationships/hyperlink" Target="https://www.thorlabs.com/item/ER05" TargetMode="External"/><Relationship Id="rId24" Type="http://schemas.openxmlformats.org/officeDocument/2006/relationships/hyperlink" Target="https://www.thorlabs.com/item/LCP34T_M" TargetMode="External"/><Relationship Id="rId32" Type="http://schemas.openxmlformats.org/officeDocument/2006/relationships/hyperlink" Target="https://www.thorlabs.com/item/PH40E_M" TargetMode="External"/><Relationship Id="rId37" Type="http://schemas.openxmlformats.org/officeDocument/2006/relationships/hyperlink" Target="https://www.thorlabs.com/item/RS2M" TargetMode="External"/><Relationship Id="rId40" Type="http://schemas.openxmlformats.org/officeDocument/2006/relationships/hyperlink" Target="https://www.thorlabs.com/item/RS4M" TargetMode="External"/><Relationship Id="rId45" Type="http://schemas.openxmlformats.org/officeDocument/2006/relationships/hyperlink" Target="https://www.thorlabs.com/item/SM1CP2" TargetMode="External"/><Relationship Id="rId5" Type="http://schemas.openxmlformats.org/officeDocument/2006/relationships/hyperlink" Target="https://www.thorlabs.com/item/CF125C_M" TargetMode="External"/><Relationship Id="rId15" Type="http://schemas.openxmlformats.org/officeDocument/2006/relationships/hyperlink" Target="https://www.thorlabs.com/item/ER1" TargetMode="External"/><Relationship Id="rId23" Type="http://schemas.openxmlformats.org/officeDocument/2006/relationships/hyperlink" Target="https://www.thorlabs.com/item/LCP33_M" TargetMode="External"/><Relationship Id="rId28" Type="http://schemas.openxmlformats.org/officeDocument/2006/relationships/hyperlink" Target="https://www.thorlabs.com/item/MDT630B_M" TargetMode="External"/><Relationship Id="rId36" Type="http://schemas.openxmlformats.org/officeDocument/2006/relationships/hyperlink" Target="https://www.thorlabs.com/item/RS1.5P_M" TargetMode="External"/><Relationship Id="rId49" Type="http://schemas.openxmlformats.org/officeDocument/2006/relationships/hyperlink" Target="https://www.thorlabs.com/item/TTL200MP" TargetMode="External"/><Relationship Id="rId10" Type="http://schemas.openxmlformats.org/officeDocument/2006/relationships/hyperlink" Target="https://www.thorlabs.com/item/DFM1_M" TargetMode="External"/><Relationship Id="rId19" Type="http://schemas.openxmlformats.org/officeDocument/2006/relationships/hyperlink" Target="https://www.thorlabs.com/item/GVSK2-EC" TargetMode="External"/><Relationship Id="rId31" Type="http://schemas.openxmlformats.org/officeDocument/2006/relationships/hyperlink" Target="https://www.thorlabs.com/item/PF125B" TargetMode="External"/><Relationship Id="rId44" Type="http://schemas.openxmlformats.org/officeDocument/2006/relationships/hyperlink" Target="https://www.thorlabs.com/item/SM1A24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s://www.thorlabs.com/item/BBE2-E02" TargetMode="External"/><Relationship Id="rId9" Type="http://schemas.openxmlformats.org/officeDocument/2006/relationships/hyperlink" Target="https://www.thorlabs.com/item/CXYZ1A_M" TargetMode="External"/><Relationship Id="rId14" Type="http://schemas.openxmlformats.org/officeDocument/2006/relationships/hyperlink" Target="https://www.thorlabs.com/item/ER6" TargetMode="External"/><Relationship Id="rId22" Type="http://schemas.openxmlformats.org/officeDocument/2006/relationships/hyperlink" Target="https://www.thorlabs.com/item/KCB2EC_M" TargetMode="External"/><Relationship Id="rId27" Type="http://schemas.openxmlformats.org/officeDocument/2006/relationships/hyperlink" Target="https://www.thorlabs.com/item/MB4560_M" TargetMode="External"/><Relationship Id="rId30" Type="http://schemas.openxmlformats.org/officeDocument/2006/relationships/hyperlink" Target="https://www.thorlabs.com/item/PB4_M" TargetMode="External"/><Relationship Id="rId35" Type="http://schemas.openxmlformats.org/officeDocument/2006/relationships/hyperlink" Target="https://www.thorlabs.com/item/RS075P_M" TargetMode="External"/><Relationship Id="rId43" Type="http://schemas.openxmlformats.org/officeDocument/2006/relationships/hyperlink" Target="https://www.thorlabs.com/item/SL50-CLS2" TargetMode="External"/><Relationship Id="rId48" Type="http://schemas.openxmlformats.org/officeDocument/2006/relationships/hyperlink" Target="https://www.thorlabs.com/item/TR40V_M" TargetMode="External"/><Relationship Id="rId8" Type="http://schemas.openxmlformats.org/officeDocument/2006/relationships/hyperlink" Target="https://www.thorlabs.com/item/CP37_M" TargetMode="External"/><Relationship Id="rId51" Type="http://schemas.openxmlformats.org/officeDocument/2006/relationships/printerSettings" Target="../printerSettings/printerSettings2.bin"/><Relationship Id="rId3" Type="http://schemas.openxmlformats.org/officeDocument/2006/relationships/hyperlink" Target="https://www.thorlabs.com/item/BBE1-E02" TargetMode="External"/><Relationship Id="rId12" Type="http://schemas.openxmlformats.org/officeDocument/2006/relationships/hyperlink" Target="https://www.thorlabs.com/item/ER12" TargetMode="External"/><Relationship Id="rId17" Type="http://schemas.openxmlformats.org/officeDocument/2006/relationships/hyperlink" Target="https://www.thorlabs.com/item/ERSCB" TargetMode="External"/><Relationship Id="rId25" Type="http://schemas.openxmlformats.org/officeDocument/2006/relationships/hyperlink" Target="https://www.thorlabs.com/item/LCRM2A_M" TargetMode="External"/><Relationship Id="rId33" Type="http://schemas.openxmlformats.org/officeDocument/2006/relationships/hyperlink" Target="https://www.thorlabs.com/item/PS5M" TargetMode="External"/><Relationship Id="rId38" Type="http://schemas.openxmlformats.org/officeDocument/2006/relationships/hyperlink" Target="https://www.thorlabs.com/item/RS2P4M" TargetMode="External"/><Relationship Id="rId46" Type="http://schemas.openxmlformats.org/officeDocument/2006/relationships/hyperlink" Target="https://www.thorlabs.com/item/SM1D12D" TargetMode="External"/><Relationship Id="rId20" Type="http://schemas.openxmlformats.org/officeDocument/2006/relationships/hyperlink" Target="https://www.thorlabs.com/item/KCB1E_M" TargetMode="External"/><Relationship Id="rId41" Type="http://schemas.openxmlformats.org/officeDocument/2006/relationships/hyperlink" Target="https://www.thorlabs.com/item/RS6M" TargetMode="External"/><Relationship Id="rId1" Type="http://schemas.openxmlformats.org/officeDocument/2006/relationships/hyperlink" Target="https://www.thorlabs.com/item/SM2T10" TargetMode="External"/><Relationship Id="rId6" Type="http://schemas.openxmlformats.org/officeDocument/2006/relationships/hyperlink" Target="https://www.thorlabs.com/item/CP32_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6B78-398C-4B99-9762-D69CEA3292A4}">
  <dimension ref="A21:A50"/>
  <sheetViews>
    <sheetView tabSelected="1" zoomScale="85" zoomScaleNormal="85" workbookViewId="0">
      <selection activeCell="P14" sqref="P14"/>
    </sheetView>
  </sheetViews>
  <sheetFormatPr defaultRowHeight="13.8"/>
  <cols>
    <col min="1" max="1" width="8.796875" style="3" customWidth="1"/>
    <col min="2" max="16384" width="8.796875" style="3"/>
  </cols>
  <sheetData>
    <row r="21" spans="1:1" ht="30">
      <c r="A21" s="15" t="s">
        <v>124</v>
      </c>
    </row>
    <row r="22" spans="1:1">
      <c r="A22"/>
    </row>
    <row r="23" spans="1:1" ht="22.8">
      <c r="A23" s="12" t="s">
        <v>125</v>
      </c>
    </row>
    <row r="24" spans="1:1">
      <c r="A24"/>
    </row>
    <row r="25" spans="1:1">
      <c r="A25" t="s">
        <v>126</v>
      </c>
    </row>
    <row r="26" spans="1:1">
      <c r="A26"/>
    </row>
    <row r="27" spans="1:1">
      <c r="A27" t="s">
        <v>127</v>
      </c>
    </row>
    <row r="28" spans="1:1">
      <c r="A28"/>
    </row>
    <row r="29" spans="1:1" ht="22.8">
      <c r="A29" s="12" t="s">
        <v>128</v>
      </c>
    </row>
    <row r="30" spans="1:1">
      <c r="A30"/>
    </row>
    <row r="31" spans="1:1">
      <c r="A31" t="s">
        <v>129</v>
      </c>
    </row>
    <row r="32" spans="1:1">
      <c r="A32"/>
    </row>
    <row r="33" spans="1:1">
      <c r="A33" t="s">
        <v>130</v>
      </c>
    </row>
    <row r="34" spans="1:1">
      <c r="A34" s="13"/>
    </row>
    <row r="35" spans="1:1">
      <c r="A35" s="13" t="s">
        <v>131</v>
      </c>
    </row>
    <row r="36" spans="1:1">
      <c r="A36" s="13" t="s">
        <v>132</v>
      </c>
    </row>
    <row r="37" spans="1:1">
      <c r="A37" s="13" t="s">
        <v>133</v>
      </c>
    </row>
    <row r="38" spans="1:1">
      <c r="A38" s="13" t="s">
        <v>134</v>
      </c>
    </row>
    <row r="39" spans="1:1">
      <c r="A39"/>
    </row>
    <row r="40" spans="1:1" ht="22.8">
      <c r="A40" s="12" t="s">
        <v>135</v>
      </c>
    </row>
    <row r="41" spans="1:1">
      <c r="A41"/>
    </row>
    <row r="42" spans="1:1">
      <c r="A42" t="s">
        <v>136</v>
      </c>
    </row>
    <row r="43" spans="1:1">
      <c r="A43"/>
    </row>
    <row r="44" spans="1:1">
      <c r="A44" t="s">
        <v>137</v>
      </c>
    </row>
    <row r="45" spans="1:1">
      <c r="A45" s="13"/>
    </row>
    <row r="46" spans="1:1">
      <c r="A46" s="13" t="s">
        <v>138</v>
      </c>
    </row>
    <row r="47" spans="1:1">
      <c r="A47" s="13" t="s">
        <v>139</v>
      </c>
    </row>
    <row r="48" spans="1:1">
      <c r="A48" s="14" t="s">
        <v>140</v>
      </c>
    </row>
    <row r="49" spans="1:1">
      <c r="A49"/>
    </row>
    <row r="50" spans="1:1">
      <c r="A50" t="s">
        <v>141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zoomScale="70" zoomScaleNormal="70" workbookViewId="0">
      <selection activeCell="F52" sqref="F52"/>
    </sheetView>
  </sheetViews>
  <sheetFormatPr defaultRowHeight="13.8"/>
  <cols>
    <col min="1" max="1" width="18" style="3" customWidth="1"/>
    <col min="2" max="2" width="52" style="3" customWidth="1"/>
    <col min="3" max="3" width="10" style="3" customWidth="1"/>
    <col min="4" max="5" width="15" style="3" customWidth="1"/>
    <col min="6" max="6" width="44" style="3" customWidth="1"/>
    <col min="7" max="16384" width="8.796875" style="3"/>
  </cols>
  <sheetData>
    <row r="1" spans="1:6" ht="22.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7.6">
      <c r="A2" s="4" t="s">
        <v>6</v>
      </c>
      <c r="B2" s="5" t="s">
        <v>143</v>
      </c>
      <c r="C2" s="6">
        <v>1</v>
      </c>
      <c r="D2" s="16">
        <v>113.23</v>
      </c>
      <c r="E2" s="7">
        <f t="shared" ref="E2:E31" si="0">IF(D2="","",C2*D2)</f>
        <v>113.23</v>
      </c>
      <c r="F2" s="1" t="s">
        <v>7</v>
      </c>
    </row>
    <row r="3" spans="1:6">
      <c r="A3" s="4" t="s">
        <v>8</v>
      </c>
      <c r="B3" s="17" t="s">
        <v>144</v>
      </c>
      <c r="C3" s="6">
        <v>8</v>
      </c>
      <c r="D3" s="16">
        <v>126.83</v>
      </c>
      <c r="E3" s="7">
        <f t="shared" si="0"/>
        <v>1014.64</v>
      </c>
      <c r="F3" s="1" t="s">
        <v>9</v>
      </c>
    </row>
    <row r="4" spans="1:6">
      <c r="A4" s="4" t="s">
        <v>10</v>
      </c>
      <c r="B4" s="17" t="s">
        <v>145</v>
      </c>
      <c r="C4" s="6">
        <v>1</v>
      </c>
      <c r="D4" s="16">
        <v>243.33</v>
      </c>
      <c r="E4" s="7">
        <f t="shared" si="0"/>
        <v>243.33</v>
      </c>
      <c r="F4" s="1" t="s">
        <v>11</v>
      </c>
    </row>
    <row r="5" spans="1:6">
      <c r="A5" s="4" t="s">
        <v>12</v>
      </c>
      <c r="B5" s="17" t="s">
        <v>13</v>
      </c>
      <c r="C5" s="6">
        <v>16</v>
      </c>
      <c r="D5" s="16">
        <v>12.48</v>
      </c>
      <c r="E5" s="7">
        <f t="shared" si="0"/>
        <v>199.68</v>
      </c>
      <c r="F5" s="1" t="s">
        <v>14</v>
      </c>
    </row>
    <row r="6" spans="1:6">
      <c r="A6" s="4" t="s">
        <v>15</v>
      </c>
      <c r="B6" s="17" t="s">
        <v>16</v>
      </c>
      <c r="C6" s="6">
        <v>1</v>
      </c>
      <c r="D6" s="16">
        <v>20.100000000000001</v>
      </c>
      <c r="E6" s="7">
        <f t="shared" si="0"/>
        <v>20.100000000000001</v>
      </c>
      <c r="F6" s="1" t="s">
        <v>17</v>
      </c>
    </row>
    <row r="7" spans="1:6">
      <c r="A7" s="4" t="s">
        <v>18</v>
      </c>
      <c r="B7" s="17" t="s">
        <v>19</v>
      </c>
      <c r="C7" s="6">
        <v>2</v>
      </c>
      <c r="D7" s="16">
        <v>18.57</v>
      </c>
      <c r="E7" s="7">
        <f t="shared" si="0"/>
        <v>37.14</v>
      </c>
      <c r="F7" s="1" t="s">
        <v>20</v>
      </c>
    </row>
    <row r="8" spans="1:6">
      <c r="A8" s="4" t="s">
        <v>21</v>
      </c>
      <c r="B8" s="17" t="s">
        <v>22</v>
      </c>
      <c r="C8" s="6">
        <v>2</v>
      </c>
      <c r="D8" s="16">
        <v>22.33</v>
      </c>
      <c r="E8" s="7">
        <f t="shared" si="0"/>
        <v>44.66</v>
      </c>
      <c r="F8" s="1" t="s">
        <v>23</v>
      </c>
    </row>
    <row r="9" spans="1:6">
      <c r="A9" s="4" t="s">
        <v>147</v>
      </c>
      <c r="B9" s="17" t="s">
        <v>148</v>
      </c>
      <c r="C9" s="6">
        <v>1</v>
      </c>
      <c r="D9" s="16">
        <v>495.67</v>
      </c>
      <c r="E9" s="7">
        <f t="shared" si="0"/>
        <v>495.67</v>
      </c>
      <c r="F9" s="1" t="s">
        <v>146</v>
      </c>
    </row>
    <row r="10" spans="1:6">
      <c r="A10" s="4" t="s">
        <v>25</v>
      </c>
      <c r="B10" s="17" t="s">
        <v>149</v>
      </c>
      <c r="C10" s="6">
        <v>1</v>
      </c>
      <c r="D10" s="16">
        <v>412.31</v>
      </c>
      <c r="E10" s="7">
        <f t="shared" si="0"/>
        <v>412.31</v>
      </c>
      <c r="F10" s="1" t="s">
        <v>26</v>
      </c>
    </row>
    <row r="11" spans="1:6">
      <c r="A11" s="4" t="s">
        <v>27</v>
      </c>
      <c r="B11" s="17" t="s">
        <v>150</v>
      </c>
      <c r="C11" s="6">
        <v>20</v>
      </c>
      <c r="D11" s="16">
        <v>5.44</v>
      </c>
      <c r="E11" s="7">
        <f t="shared" si="0"/>
        <v>108.80000000000001</v>
      </c>
      <c r="F11" s="1" t="s">
        <v>28</v>
      </c>
    </row>
    <row r="12" spans="1:6">
      <c r="A12" s="4" t="s">
        <v>29</v>
      </c>
      <c r="B12" s="17" t="s">
        <v>30</v>
      </c>
      <c r="C12" s="6">
        <v>8</v>
      </c>
      <c r="D12" s="16">
        <v>5.44</v>
      </c>
      <c r="E12" s="7">
        <f t="shared" si="0"/>
        <v>43.52</v>
      </c>
      <c r="F12" s="1" t="s">
        <v>31</v>
      </c>
    </row>
    <row r="13" spans="1:6">
      <c r="A13" s="4" t="s">
        <v>32</v>
      </c>
      <c r="B13" s="17" t="s">
        <v>151</v>
      </c>
      <c r="C13" s="6">
        <v>4</v>
      </c>
      <c r="D13" s="16">
        <v>18.03</v>
      </c>
      <c r="E13" s="7">
        <f t="shared" si="0"/>
        <v>72.12</v>
      </c>
      <c r="F13" s="1" t="s">
        <v>33</v>
      </c>
    </row>
    <row r="14" spans="1:6">
      <c r="A14" s="4" t="s">
        <v>34</v>
      </c>
      <c r="B14" s="17" t="s">
        <v>153</v>
      </c>
      <c r="C14" s="6">
        <v>16</v>
      </c>
      <c r="D14" s="16">
        <v>6.41</v>
      </c>
      <c r="E14" s="7">
        <f t="shared" si="0"/>
        <v>102.56</v>
      </c>
      <c r="F14" s="1" t="s">
        <v>35</v>
      </c>
    </row>
    <row r="15" spans="1:6">
      <c r="A15" s="4" t="s">
        <v>36</v>
      </c>
      <c r="B15" s="17" t="s">
        <v>152</v>
      </c>
      <c r="C15" s="6">
        <v>8</v>
      </c>
      <c r="D15" s="16">
        <v>6.94</v>
      </c>
      <c r="E15" s="7">
        <f t="shared" si="0"/>
        <v>55.52</v>
      </c>
      <c r="F15" s="1" t="s">
        <v>37</v>
      </c>
    </row>
    <row r="16" spans="1:6">
      <c r="A16" s="4" t="s">
        <v>38</v>
      </c>
      <c r="B16" s="17" t="s">
        <v>39</v>
      </c>
      <c r="C16" s="6">
        <v>4</v>
      </c>
      <c r="D16" s="16">
        <v>9.11</v>
      </c>
      <c r="E16" s="7">
        <f t="shared" si="0"/>
        <v>36.44</v>
      </c>
      <c r="F16" s="1" t="s">
        <v>40</v>
      </c>
    </row>
    <row r="17" spans="1:6">
      <c r="A17" s="4" t="s">
        <v>41</v>
      </c>
      <c r="B17" s="17" t="s">
        <v>154</v>
      </c>
      <c r="C17" s="6">
        <v>4</v>
      </c>
      <c r="D17" s="16">
        <v>16.02</v>
      </c>
      <c r="E17" s="7">
        <f t="shared" si="0"/>
        <v>64.08</v>
      </c>
      <c r="F17" s="1" t="s">
        <v>42</v>
      </c>
    </row>
    <row r="18" spans="1:6">
      <c r="A18" s="4" t="s">
        <v>43</v>
      </c>
      <c r="B18" s="17" t="s">
        <v>155</v>
      </c>
      <c r="C18" s="6">
        <v>1</v>
      </c>
      <c r="D18" s="16">
        <v>269.64999999999998</v>
      </c>
      <c r="E18" s="7">
        <f t="shared" si="0"/>
        <v>269.64999999999998</v>
      </c>
      <c r="F18" s="1" t="s">
        <v>44</v>
      </c>
    </row>
    <row r="19" spans="1:6">
      <c r="A19" s="4" t="s">
        <v>45</v>
      </c>
      <c r="B19" s="17" t="s">
        <v>156</v>
      </c>
      <c r="C19" s="6">
        <v>1</v>
      </c>
      <c r="D19" s="16">
        <v>2984.18</v>
      </c>
      <c r="E19" s="7">
        <f t="shared" si="0"/>
        <v>2984.18</v>
      </c>
      <c r="F19" s="1" t="s">
        <v>46</v>
      </c>
    </row>
    <row r="20" spans="1:6">
      <c r="A20" s="4" t="s">
        <v>47</v>
      </c>
      <c r="B20" s="17" t="s">
        <v>157</v>
      </c>
      <c r="C20" s="6">
        <v>2</v>
      </c>
      <c r="D20" s="16">
        <v>216.73</v>
      </c>
      <c r="E20" s="7">
        <f t="shared" si="0"/>
        <v>433.46</v>
      </c>
      <c r="F20" s="1" t="s">
        <v>48</v>
      </c>
    </row>
    <row r="21" spans="1:6">
      <c r="A21" s="4" t="s">
        <v>49</v>
      </c>
      <c r="B21" s="17" t="s">
        <v>50</v>
      </c>
      <c r="C21" s="6">
        <v>6</v>
      </c>
      <c r="D21" s="16">
        <v>216.73</v>
      </c>
      <c r="E21" s="7">
        <f t="shared" si="0"/>
        <v>1300.3799999999999</v>
      </c>
      <c r="F21" s="1" t="s">
        <v>51</v>
      </c>
    </row>
    <row r="22" spans="1:6">
      <c r="A22" s="4" t="s">
        <v>52</v>
      </c>
      <c r="B22" s="17" t="s">
        <v>158</v>
      </c>
      <c r="C22" s="6">
        <v>1</v>
      </c>
      <c r="D22" s="16">
        <v>260.54000000000002</v>
      </c>
      <c r="E22" s="7">
        <f t="shared" si="0"/>
        <v>260.54000000000002</v>
      </c>
      <c r="F22" s="1" t="s">
        <v>53</v>
      </c>
    </row>
    <row r="23" spans="1:6">
      <c r="A23" s="4" t="s">
        <v>54</v>
      </c>
      <c r="B23" s="17" t="s">
        <v>55</v>
      </c>
      <c r="C23" s="6">
        <v>3</v>
      </c>
      <c r="D23" s="16">
        <v>45.06</v>
      </c>
      <c r="E23" s="7">
        <f t="shared" si="0"/>
        <v>135.18</v>
      </c>
      <c r="F23" s="1" t="s">
        <v>56</v>
      </c>
    </row>
    <row r="24" spans="1:6">
      <c r="A24" s="4" t="s">
        <v>57</v>
      </c>
      <c r="B24" s="17" t="s">
        <v>159</v>
      </c>
      <c r="C24" s="6">
        <v>1</v>
      </c>
      <c r="D24" s="16">
        <v>43.32</v>
      </c>
      <c r="E24" s="7">
        <f t="shared" si="0"/>
        <v>43.32</v>
      </c>
      <c r="F24" s="1" t="s">
        <v>58</v>
      </c>
    </row>
    <row r="25" spans="1:6">
      <c r="A25" s="4" t="s">
        <v>59</v>
      </c>
      <c r="B25" s="17" t="s">
        <v>60</v>
      </c>
      <c r="C25" s="6">
        <v>1</v>
      </c>
      <c r="D25" s="16">
        <v>151.36000000000001</v>
      </c>
      <c r="E25" s="7">
        <f t="shared" si="0"/>
        <v>151.36000000000001</v>
      </c>
      <c r="F25" s="1" t="s">
        <v>61</v>
      </c>
    </row>
    <row r="26" spans="1:6">
      <c r="A26" s="4" t="s">
        <v>62</v>
      </c>
      <c r="B26" s="17" t="s">
        <v>160</v>
      </c>
      <c r="C26" s="6">
        <v>1</v>
      </c>
      <c r="D26" s="16">
        <v>143.86000000000001</v>
      </c>
      <c r="E26" s="7">
        <f t="shared" si="0"/>
        <v>143.86000000000001</v>
      </c>
      <c r="F26" s="1" t="s">
        <v>63</v>
      </c>
    </row>
    <row r="27" spans="1:6">
      <c r="A27" s="4" t="s">
        <v>64</v>
      </c>
      <c r="B27" s="17" t="s">
        <v>65</v>
      </c>
      <c r="C27" s="6">
        <v>1</v>
      </c>
      <c r="D27" s="16">
        <v>417.56</v>
      </c>
      <c r="E27" s="7">
        <f t="shared" si="0"/>
        <v>417.56</v>
      </c>
      <c r="F27" s="1" t="s">
        <v>66</v>
      </c>
    </row>
    <row r="28" spans="1:6">
      <c r="A28" s="4" t="s">
        <v>67</v>
      </c>
      <c r="B28" s="17" t="s">
        <v>68</v>
      </c>
      <c r="C28" s="6">
        <v>1</v>
      </c>
      <c r="D28" s="16">
        <v>4814.5200000000004</v>
      </c>
      <c r="E28" s="7">
        <f t="shared" si="0"/>
        <v>4814.5200000000004</v>
      </c>
      <c r="F28" s="1" t="s">
        <v>69</v>
      </c>
    </row>
    <row r="29" spans="1:6">
      <c r="A29" s="4" t="s">
        <v>71</v>
      </c>
      <c r="B29" s="17" t="s">
        <v>161</v>
      </c>
      <c r="C29" s="6">
        <v>3</v>
      </c>
      <c r="D29" s="16">
        <v>45.97</v>
      </c>
      <c r="E29" s="7">
        <f t="shared" si="0"/>
        <v>137.91</v>
      </c>
      <c r="F29" s="1" t="s">
        <v>72</v>
      </c>
    </row>
    <row r="30" spans="1:6">
      <c r="A30" s="4" t="s">
        <v>73</v>
      </c>
      <c r="B30" s="17" t="s">
        <v>162</v>
      </c>
      <c r="C30" s="6">
        <v>3</v>
      </c>
      <c r="D30" s="16">
        <v>14.67</v>
      </c>
      <c r="E30" s="7">
        <f t="shared" si="0"/>
        <v>44.01</v>
      </c>
      <c r="F30" s="1" t="s">
        <v>74</v>
      </c>
    </row>
    <row r="31" spans="1:6">
      <c r="A31" s="4" t="s">
        <v>75</v>
      </c>
      <c r="B31" s="17" t="s">
        <v>76</v>
      </c>
      <c r="C31" s="6">
        <v>3</v>
      </c>
      <c r="D31" s="16">
        <v>15.71</v>
      </c>
      <c r="E31" s="7">
        <f t="shared" si="0"/>
        <v>47.13</v>
      </c>
      <c r="F31" s="1" t="s">
        <v>77</v>
      </c>
    </row>
    <row r="32" spans="1:6">
      <c r="A32" s="4" t="s">
        <v>78</v>
      </c>
      <c r="B32" s="17" t="s">
        <v>163</v>
      </c>
      <c r="C32" s="6">
        <v>4</v>
      </c>
      <c r="D32" s="16">
        <v>27.15</v>
      </c>
      <c r="E32" s="7">
        <f t="shared" ref="E32:E50" si="1">IF(D32="","",C32*D32)</f>
        <v>108.6</v>
      </c>
      <c r="F32" s="1" t="s">
        <v>79</v>
      </c>
    </row>
    <row r="33" spans="1:6">
      <c r="A33" s="4" t="s">
        <v>80</v>
      </c>
      <c r="B33" s="17" t="s">
        <v>164</v>
      </c>
      <c r="C33" s="6">
        <v>3</v>
      </c>
      <c r="D33" s="16">
        <v>9.4600000000000009</v>
      </c>
      <c r="E33" s="7">
        <f t="shared" si="1"/>
        <v>28.380000000000003</v>
      </c>
      <c r="F33" s="1" t="s">
        <v>81</v>
      </c>
    </row>
    <row r="34" spans="1:6">
      <c r="A34" s="4" t="s">
        <v>82</v>
      </c>
      <c r="B34" s="17" t="s">
        <v>83</v>
      </c>
      <c r="C34" s="6">
        <v>1</v>
      </c>
      <c r="D34" s="16">
        <v>983.25</v>
      </c>
      <c r="E34" s="7">
        <f t="shared" si="1"/>
        <v>983.25</v>
      </c>
      <c r="F34" s="1" t="s">
        <v>84</v>
      </c>
    </row>
    <row r="35" spans="1:6">
      <c r="A35" s="4" t="s">
        <v>85</v>
      </c>
      <c r="B35" s="17" t="s">
        <v>165</v>
      </c>
      <c r="C35" s="6">
        <v>1</v>
      </c>
      <c r="D35" s="16">
        <v>25.42</v>
      </c>
      <c r="E35" s="7">
        <f t="shared" si="1"/>
        <v>25.42</v>
      </c>
      <c r="F35" s="1" t="s">
        <v>86</v>
      </c>
    </row>
    <row r="36" spans="1:6">
      <c r="A36" s="4" t="s">
        <v>87</v>
      </c>
      <c r="B36" s="17" t="s">
        <v>166</v>
      </c>
      <c r="C36" s="6">
        <v>10</v>
      </c>
      <c r="D36" s="16">
        <v>28.09</v>
      </c>
      <c r="E36" s="7">
        <f t="shared" si="1"/>
        <v>280.89999999999998</v>
      </c>
      <c r="F36" s="1" t="s">
        <v>88</v>
      </c>
    </row>
    <row r="37" spans="1:6">
      <c r="A37" s="4" t="s">
        <v>89</v>
      </c>
      <c r="B37" s="17" t="s">
        <v>167</v>
      </c>
      <c r="C37" s="6">
        <v>1</v>
      </c>
      <c r="D37" s="16">
        <v>7.74</v>
      </c>
      <c r="E37" s="7">
        <f t="shared" si="1"/>
        <v>7.74</v>
      </c>
      <c r="F37" s="1" t="s">
        <v>90</v>
      </c>
    </row>
    <row r="38" spans="1:6">
      <c r="A38" s="4" t="s">
        <v>91</v>
      </c>
      <c r="B38" s="17" t="s">
        <v>168</v>
      </c>
      <c r="C38" s="6">
        <v>1</v>
      </c>
      <c r="D38" s="16">
        <v>27.73</v>
      </c>
      <c r="E38" s="7">
        <f t="shared" si="1"/>
        <v>27.73</v>
      </c>
      <c r="F38" s="1" t="s">
        <v>92</v>
      </c>
    </row>
    <row r="39" spans="1:6">
      <c r="A39" s="4" t="s">
        <v>93</v>
      </c>
      <c r="B39" s="17" t="s">
        <v>169</v>
      </c>
      <c r="C39" s="6">
        <v>1</v>
      </c>
      <c r="D39" s="16">
        <v>8.44</v>
      </c>
      <c r="E39" s="7">
        <f t="shared" si="1"/>
        <v>8.44</v>
      </c>
      <c r="F39" s="1" t="s">
        <v>94</v>
      </c>
    </row>
    <row r="40" spans="1:6">
      <c r="A40" s="4" t="s">
        <v>95</v>
      </c>
      <c r="B40" s="17" t="s">
        <v>170</v>
      </c>
      <c r="C40" s="6">
        <v>1</v>
      </c>
      <c r="D40" s="16">
        <v>8.44</v>
      </c>
      <c r="E40" s="7">
        <f t="shared" si="1"/>
        <v>8.44</v>
      </c>
      <c r="F40" s="1" t="s">
        <v>96</v>
      </c>
    </row>
    <row r="41" spans="1:6">
      <c r="A41" s="4" t="s">
        <v>97</v>
      </c>
      <c r="B41" s="17" t="s">
        <v>171</v>
      </c>
      <c r="C41" s="6">
        <v>1</v>
      </c>
      <c r="D41" s="16">
        <v>9.02</v>
      </c>
      <c r="E41" s="7">
        <f t="shared" si="1"/>
        <v>9.02</v>
      </c>
      <c r="F41" s="1" t="s">
        <v>98</v>
      </c>
    </row>
    <row r="42" spans="1:6">
      <c r="A42" s="4" t="s">
        <v>99</v>
      </c>
      <c r="B42" s="17" t="s">
        <v>172</v>
      </c>
      <c r="C42" s="6">
        <v>7</v>
      </c>
      <c r="D42" s="16">
        <v>9.36</v>
      </c>
      <c r="E42" s="7">
        <f t="shared" si="1"/>
        <v>65.52</v>
      </c>
      <c r="F42" s="1" t="s">
        <v>100</v>
      </c>
    </row>
    <row r="43" spans="1:6">
      <c r="A43" s="4" t="s">
        <v>101</v>
      </c>
      <c r="B43" s="17" t="s">
        <v>173</v>
      </c>
      <c r="C43" s="6">
        <v>1</v>
      </c>
      <c r="D43" s="16">
        <v>3477.79</v>
      </c>
      <c r="E43" s="7">
        <f t="shared" si="1"/>
        <v>3477.79</v>
      </c>
      <c r="F43" s="1" t="s">
        <v>102</v>
      </c>
    </row>
    <row r="44" spans="1:6">
      <c r="A44" s="4" t="s">
        <v>103</v>
      </c>
      <c r="B44" s="17" t="s">
        <v>174</v>
      </c>
      <c r="C44" s="6">
        <v>1</v>
      </c>
      <c r="D44" s="16">
        <v>21.86</v>
      </c>
      <c r="E44" s="7">
        <f t="shared" si="1"/>
        <v>21.86</v>
      </c>
      <c r="F44" s="1" t="s">
        <v>104</v>
      </c>
    </row>
    <row r="45" spans="1:6">
      <c r="A45" s="4" t="s">
        <v>105</v>
      </c>
      <c r="B45" s="17" t="s">
        <v>175</v>
      </c>
      <c r="C45" s="6">
        <v>1</v>
      </c>
      <c r="D45" s="16">
        <v>20.12</v>
      </c>
      <c r="E45" s="7">
        <f t="shared" si="1"/>
        <v>20.12</v>
      </c>
      <c r="F45" s="1" t="s">
        <v>106</v>
      </c>
    </row>
    <row r="46" spans="1:6">
      <c r="A46" s="4" t="s">
        <v>107</v>
      </c>
      <c r="B46" s="17" t="s">
        <v>176</v>
      </c>
      <c r="C46" s="6">
        <v>1</v>
      </c>
      <c r="D46" s="16">
        <v>75.97</v>
      </c>
      <c r="E46" s="7">
        <f t="shared" si="1"/>
        <v>75.97</v>
      </c>
      <c r="F46" s="1" t="s">
        <v>108</v>
      </c>
    </row>
    <row r="47" spans="1:6">
      <c r="A47" s="4" t="s">
        <v>109</v>
      </c>
      <c r="B47" s="17" t="s">
        <v>177</v>
      </c>
      <c r="C47" s="6">
        <v>1</v>
      </c>
      <c r="D47" s="16">
        <v>26</v>
      </c>
      <c r="E47" s="7">
        <f t="shared" si="1"/>
        <v>26</v>
      </c>
      <c r="F47" s="1" t="s">
        <v>110</v>
      </c>
    </row>
    <row r="48" spans="1:6">
      <c r="A48" s="4" t="s">
        <v>111</v>
      </c>
      <c r="B48" s="17" t="s">
        <v>178</v>
      </c>
      <c r="C48" s="6">
        <v>1</v>
      </c>
      <c r="D48" s="16">
        <v>41.3</v>
      </c>
      <c r="E48" s="7">
        <f t="shared" si="1"/>
        <v>41.3</v>
      </c>
      <c r="F48" s="1" t="s">
        <v>112</v>
      </c>
    </row>
    <row r="49" spans="1:6">
      <c r="A49" s="4" t="s">
        <v>113</v>
      </c>
      <c r="B49" s="17" t="s">
        <v>179</v>
      </c>
      <c r="C49" s="6">
        <v>4</v>
      </c>
      <c r="D49" s="16">
        <v>14.7</v>
      </c>
      <c r="E49" s="7">
        <f t="shared" si="1"/>
        <v>58.8</v>
      </c>
      <c r="F49" s="1" t="s">
        <v>114</v>
      </c>
    </row>
    <row r="50" spans="1:6">
      <c r="A50" s="4" t="s">
        <v>115</v>
      </c>
      <c r="B50" s="17" t="s">
        <v>180</v>
      </c>
      <c r="C50" s="6">
        <v>1</v>
      </c>
      <c r="D50" s="16">
        <v>1479.2</v>
      </c>
      <c r="E50" s="7">
        <f t="shared" si="1"/>
        <v>1479.2</v>
      </c>
      <c r="F50" s="1" t="s">
        <v>116</v>
      </c>
    </row>
    <row r="51" spans="1:6">
      <c r="A51" s="4" t="s">
        <v>24</v>
      </c>
      <c r="B51" s="5" t="s">
        <v>119</v>
      </c>
      <c r="C51" s="6">
        <v>1</v>
      </c>
      <c r="D51" s="7"/>
      <c r="E51" s="7" t="str">
        <f>IF(D51="","",C51*D51)</f>
        <v/>
      </c>
      <c r="F51" s="1" t="s">
        <v>181</v>
      </c>
    </row>
    <row r="52" spans="1:6" ht="27.6">
      <c r="A52" s="4" t="s">
        <v>70</v>
      </c>
      <c r="B52" s="5" t="s">
        <v>120</v>
      </c>
      <c r="C52" s="6">
        <v>1</v>
      </c>
      <c r="D52" s="7"/>
      <c r="E52" s="7" t="str">
        <f>IF(D52="","",C52*D52)</f>
        <v/>
      </c>
      <c r="F52" s="5"/>
    </row>
    <row r="53" spans="1:6" ht="55.2">
      <c r="A53" s="4" t="s">
        <v>122</v>
      </c>
      <c r="B53" s="5" t="s">
        <v>123</v>
      </c>
      <c r="C53" s="6"/>
      <c r="D53" s="7"/>
      <c r="E53" s="7"/>
      <c r="F53" s="5"/>
    </row>
    <row r="54" spans="1:6">
      <c r="A54" s="4" t="s">
        <v>118</v>
      </c>
      <c r="B54" s="5" t="s">
        <v>121</v>
      </c>
      <c r="C54" s="6">
        <v>1</v>
      </c>
      <c r="D54" s="7"/>
      <c r="E54" s="7"/>
      <c r="F54" s="5"/>
    </row>
    <row r="56" spans="1:6">
      <c r="A56" s="8" t="s">
        <v>117</v>
      </c>
      <c r="B56" s="8"/>
      <c r="C56" s="9"/>
      <c r="D56" s="10"/>
      <c r="E56" s="11">
        <f>SUM(E2:E54)</f>
        <v>21001.34</v>
      </c>
      <c r="F56" s="8" t="s">
        <v>142</v>
      </c>
    </row>
  </sheetData>
  <hyperlinks>
    <hyperlink ref="F48" r:id="rId1" xr:uid="{157AA393-FF2A-4D74-85A3-58849AF02658}"/>
    <hyperlink ref="F2" r:id="rId2" xr:uid="{15C51846-2BC8-4C5D-8C30-90E28E19A4AB}"/>
    <hyperlink ref="F3" r:id="rId3" xr:uid="{32267DDD-BE6F-4ED3-A8ED-75BF775CF16A}"/>
    <hyperlink ref="F4" r:id="rId4" xr:uid="{557B53FB-A2CF-44F3-96B1-04A3E1F977C9}"/>
    <hyperlink ref="F5" r:id="rId5" xr:uid="{8949A480-D274-4E86-8D8B-DF34AAEA956E}"/>
    <hyperlink ref="F6" r:id="rId6" xr:uid="{038B456A-7404-4533-BE68-205AD0A9DA7F}"/>
    <hyperlink ref="F7" r:id="rId7" xr:uid="{B0177C6F-5428-4861-B7BA-DF184680AFD2}"/>
    <hyperlink ref="F8" r:id="rId8" xr:uid="{9F25D04F-7E9A-4D70-BF47-CB79DB95C07F}"/>
    <hyperlink ref="F9" r:id="rId9" xr:uid="{BFBD21C3-6730-4D19-9A7B-0AC450B06FCC}"/>
    <hyperlink ref="F10" r:id="rId10" xr:uid="{644232E5-6EB4-4D7E-8005-233E848EF84E}"/>
    <hyperlink ref="F11" r:id="rId11" xr:uid="{15F4E309-F40F-487D-A768-E24533D4A1EC}"/>
    <hyperlink ref="F13" r:id="rId12" xr:uid="{C71F7750-4733-4FAB-A846-EE8E7B138B03}"/>
    <hyperlink ref="F15" r:id="rId13" xr:uid="{EED7C2CB-BCC4-4BBD-95C5-12F49E793D75}"/>
    <hyperlink ref="F16" r:id="rId14" xr:uid="{F604C423-FBA8-428C-9A0C-B69835136403}"/>
    <hyperlink ref="F12" r:id="rId15" xr:uid="{466CDAFB-5CAE-40E2-BCCF-4B8979A08E70}"/>
    <hyperlink ref="F14" r:id="rId16" xr:uid="{793E56AD-3999-4B81-95AD-C07BFF587F1F}"/>
    <hyperlink ref="F17" r:id="rId17" xr:uid="{40912B12-ECA0-4E71-BDCA-1F26241BB1FD}"/>
    <hyperlink ref="F18" r:id="rId18" xr:uid="{DD67A8BE-3A42-4A0A-9AE7-1F9D9D2EE878}"/>
    <hyperlink ref="F19" r:id="rId19" xr:uid="{7C71A977-2DEB-41B4-8F6F-22B74A9B6ACC}"/>
    <hyperlink ref="F20" r:id="rId20" xr:uid="{4A80C752-A98A-4E73-85C4-37051E259257}"/>
    <hyperlink ref="F21" r:id="rId21" xr:uid="{62713E29-A9C1-4BBD-9794-E4F72D6D7192}"/>
    <hyperlink ref="F22" r:id="rId22" xr:uid="{0D73B829-BBE4-4E20-86CC-E3E0E8233F0C}"/>
    <hyperlink ref="F23" r:id="rId23" xr:uid="{480429EE-3972-4EAB-8E18-6A6FD6D53001}"/>
    <hyperlink ref="F24" r:id="rId24" xr:uid="{D0776912-1845-4D20-B114-CA10DE6B473B}"/>
    <hyperlink ref="F25" r:id="rId25" xr:uid="{88AA5D9E-ACAA-4AC0-ACD2-E978F72FE023}"/>
    <hyperlink ref="F26" r:id="rId26" xr:uid="{C70F93F4-CCBE-49C8-A102-4988EFCE1E22}"/>
    <hyperlink ref="F27" r:id="rId27" xr:uid="{FDFDF3E4-360B-4C9B-B3D2-AEA4D4C1F49E}"/>
    <hyperlink ref="F28" r:id="rId28" xr:uid="{6285AFDC-CAB3-4764-B3DD-792F8B1D0AA4}"/>
    <hyperlink ref="F29" r:id="rId29" xr:uid="{D4FA16B9-E8E5-4788-A84F-809A13CABFB1}"/>
    <hyperlink ref="F30" r:id="rId30" xr:uid="{62062845-F7CD-4692-89B8-E5DBFA7DC749}"/>
    <hyperlink ref="F31" r:id="rId31" xr:uid="{B7B8727B-D31F-4F38-A102-3B36A2429BF8}"/>
    <hyperlink ref="F32" r:id="rId32" xr:uid="{335CF1A5-902D-439B-9FB3-2D3A930E6BCA}"/>
    <hyperlink ref="F33" r:id="rId33" xr:uid="{B01D137E-7B65-4C0A-B4E3-000665A15E87}"/>
    <hyperlink ref="F34" r:id="rId34" xr:uid="{95A7B2BC-ADBC-49FC-9E63-3967442050D5}"/>
    <hyperlink ref="F35" r:id="rId35" xr:uid="{8B0B577D-AF2A-4A95-A6DC-714384D8EA9D}"/>
    <hyperlink ref="F36" r:id="rId36" xr:uid="{C3AECE66-9BB5-4270-80F3-8D2104E98D25}"/>
    <hyperlink ref="F37" r:id="rId37" xr:uid="{B229C488-14DE-43EB-A562-BCF56C118938}"/>
    <hyperlink ref="F38" r:id="rId38" xr:uid="{8F373FB3-2995-45CF-9BDB-8D281D733192}"/>
    <hyperlink ref="F39" r:id="rId39" xr:uid="{B152E6AC-1882-4664-A2CF-7D4DDCCD25B9}"/>
    <hyperlink ref="F40" r:id="rId40" xr:uid="{0687202D-3903-419B-B3BB-CF3A8FED845C}"/>
    <hyperlink ref="F41" r:id="rId41" xr:uid="{FC6A39F7-30B5-4BB8-A389-F689521DB3B9}"/>
    <hyperlink ref="F42" r:id="rId42" xr:uid="{6EE481F2-FB02-40A1-AF13-228D058B17C1}"/>
    <hyperlink ref="F43" r:id="rId43" xr:uid="{83279795-08BD-4AC9-B8FB-54D98FE640A2}"/>
    <hyperlink ref="F44" r:id="rId44" xr:uid="{B4102945-6A1B-4CE7-B832-A700B98F2080}"/>
    <hyperlink ref="F45" r:id="rId45" xr:uid="{B25BE4A0-DE45-4E0F-9FE4-328374184AC7}"/>
    <hyperlink ref="F46" r:id="rId46" xr:uid="{8CD51156-6AC2-437F-B630-9138342F385A}"/>
    <hyperlink ref="F47" r:id="rId47" xr:uid="{666C2D5C-E7C5-4323-A0CF-F533B208AC41}"/>
    <hyperlink ref="F49" r:id="rId48" xr:uid="{03B9541B-8D13-4B70-97D5-A92C9B4A69B0}"/>
    <hyperlink ref="F50" r:id="rId49" xr:uid="{5E8ED592-C9C8-4F22-B432-2D3971DE7EB4}"/>
    <hyperlink ref="F51" r:id="rId50" xr:uid="{304018D9-53D4-4636-99CE-04233E363591}"/>
  </hyperlinks>
  <pageMargins left="0.7" right="0.7" top="0.75" bottom="0.75" header="0.3" footer="0.3"/>
  <pageSetup paperSize="9" orientation="portrait" r:id="rId51"/>
  <tableParts count="1">
    <tablePart r:id="rId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Part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Bucci</cp:lastModifiedBy>
  <dcterms:modified xsi:type="dcterms:W3CDTF">2026-05-08T16:06:54Z</dcterms:modified>
</cp:coreProperties>
</file>